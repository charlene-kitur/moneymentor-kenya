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bb6b88685146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thly Budget" sheetId="1" r:id="Ra811b4fe869d49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KSh &quot;#,##0;[Red](&quot;KSh &quot;#,##0);-"/>
    <x:numFmt numFmtId="201" formatCode="0%"/>
    <x:numFmt numFmtId="202" formatCode="&quot;KSh &quot;#,##0"/>
  </x:numFmts>
  <x:fonts count="1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315C41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1A4D2E"/>
      <x:name val="Carlito"/>
    </x:font>
    <x:font>
      <x:sz val="11"/>
      <x:color rgb="FF0000FF"/>
      <x:name val="Carlito"/>
    </x:font>
    <x:font>
      <x:i/>
      <x:sz val="11"/>
      <x:color rgb="FF6A4A00"/>
      <x:name val="Carlito"/>
    </x:font>
    <x:font>
      <x:b/>
      <x:sz val="18"/>
      <x:color rgb="FFFFFFFF"/>
      <x:name val="Aptos"/>
    </x:font>
    <x:font>
      <x:i/>
      <x:sz val="11"/>
      <x:color rgb="FF315C41"/>
      <x:name val="Aptos"/>
    </x:font>
    <x:font>
      <x:sz val="11"/>
      <x:name val="Aptos"/>
    </x:font>
    <x:font>
      <x:b/>
      <x:sz val="11"/>
      <x:name val="Aptos"/>
    </x:font>
    <x:font>
      <x:b/>
      <x:sz val="11"/>
      <x:color rgb="FFFFFFFF"/>
      <x:name val="Aptos"/>
    </x:font>
    <x:font>
      <x:b/>
      <x:sz val="11"/>
      <x:color rgb="FF1A4D2E"/>
      <x:name val="Aptos"/>
    </x:font>
    <x:font>
      <x:sz val="11"/>
      <x:color rgb="FF0000FF"/>
      <x:name val="Aptos"/>
    </x:font>
    <x:font>
      <x:i/>
      <x:sz val="11"/>
      <x:color rgb="FF6A4A00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A4D2E"/>
      </x:patternFill>
    </x:fill>
    <x:fill>
      <x:patternFill patternType="solid">
        <x:fgColor rgb="FFEAF3ED"/>
      </x:patternFill>
    </x:fill>
    <x:fill>
      <x:patternFill patternType="solid">
        <x:fgColor rgb="FFF5B041"/>
      </x:patternFill>
    </x:fill>
    <x:fill>
      <x:patternFill patternType="solid">
        <x:fgColor rgb="FFE8F1FB"/>
      </x:patternFill>
    </x:fill>
    <x:fill>
      <x:patternFill patternType="solid">
        <x:fgColor rgb="FFFFF6DF"/>
      </x:patternFill>
    </x:fill>
  </x:fills>
  <x:borders count="2">
    <x:border/>
    <x:border>
      <x:bottom style="double">
        <x:color rgb="FF1A4D2E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3" borderId="0" xfId="0" applyNumberFormat="1" applyFont="1" applyFill="1" applyBorder="1"/>
    <x:xf numFmtId="0" fontId="3" fillId="3" borderId="0" xfId="0" applyNumberFormat="1" applyFont="1" applyFill="1" applyBorder="1"/>
    <x:xf numFmtId="200" fontId="3" fillId="3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202" fontId="6" fillId="5" borderId="0" xfId="0" applyNumberFormat="1" applyFont="1" applyFill="1" applyBorder="1"/>
    <x:xf numFmtId="0" fontId="3" fillId="4" borderId="1" xfId="0" applyNumberFormat="1" applyFont="1" applyFill="1" applyBorder="1"/>
    <x:xf numFmtId="202" fontId="3" fillId="4" borderId="1" xfId="0" applyNumberFormat="1" applyFont="1" applyFill="1" applyBorder="1"/>
    <x:xf numFmtId="202" fontId="0" fillId="0" borderId="0" xfId="0" applyNumberFormat="1" applyFont="1" applyFill="1" applyBorder="1"/>
    <x:xf numFmtId="202" fontId="4" fillId="2" borderId="0" xfId="0" applyNumberFormat="1" applyFont="1" applyFill="1" applyBorder="1"/>
    <x:xf numFmtId="202" fontId="5" fillId="3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/>
    </x:xf>
    <x:xf numFmtId="0" fontId="9" fillId="3" borderId="0" xfId="0" applyNumberFormat="1" applyFont="1" applyFill="1" applyBorder="1" applyAlignment="1">
      <x:alignment horizontal="center"/>
    </x:xf>
    <x:xf numFmtId="0" fontId="10" fillId="0" borderId="0" xfId="0" applyNumberFormat="1" applyFont="1" applyFill="1" applyBorder="1"/>
    <x:xf numFmtId="0" fontId="11" fillId="4" borderId="0" xfId="0" applyNumberFormat="1" applyFont="1" applyFill="1" applyBorder="1"/>
    <x:xf numFmtId="0" fontId="12" fillId="2" borderId="0" xfId="0" applyNumberFormat="1" applyFont="1" applyFill="1" applyBorder="1" applyAlignment="1">
      <x:alignment horizontal="center"/>
    </x:xf>
    <x:xf numFmtId="200" fontId="10" fillId="0" borderId="0" xfId="0" applyNumberFormat="1" applyFont="1" applyFill="1" applyBorder="1"/>
    <x:xf numFmtId="0" fontId="13" fillId="3" borderId="0" xfId="0" applyNumberFormat="1" applyFont="1" applyFill="1" applyBorder="1"/>
    <x:xf numFmtId="201" fontId="10" fillId="0" borderId="0" xfId="0" applyNumberFormat="1" applyFont="1" applyFill="1" applyBorder="1"/>
    <x:xf numFmtId="0" fontId="11" fillId="3" borderId="0" xfId="0" applyNumberFormat="1" applyFont="1" applyFill="1" applyBorder="1"/>
    <x:xf numFmtId="200" fontId="11" fillId="3" borderId="0" xfId="0" applyNumberFormat="1" applyFont="1" applyFill="1" applyBorder="1"/>
    <x:xf numFmtId="0" fontId="12" fillId="2" borderId="0" xfId="0" applyNumberFormat="1" applyFont="1" applyFill="1" applyBorder="1"/>
    <x:xf numFmtId="202" fontId="14" fillId="5" borderId="0" xfId="0" applyNumberFormat="1" applyFont="1" applyFill="1" applyBorder="1"/>
    <x:xf numFmtId="0" fontId="11" fillId="4" borderId="1" xfId="0" applyNumberFormat="1" applyFont="1" applyFill="1" applyBorder="1"/>
    <x:xf numFmtId="202" fontId="11" fillId="4" borderId="1" xfId="0" applyNumberFormat="1" applyFont="1" applyFill="1" applyBorder="1"/>
    <x:xf numFmtId="202" fontId="10" fillId="0" borderId="0" xfId="0" applyNumberFormat="1" applyFont="1" applyFill="1" applyBorder="1"/>
    <x:xf numFmtId="202" fontId="12" fillId="2" borderId="0" xfId="0" applyNumberFormat="1" applyFont="1" applyFill="1" applyBorder="1"/>
    <x:xf numFmtId="202" fontId="13" fillId="3" borderId="0" xfId="0" applyNumberFormat="1" applyFont="1" applyFill="1" applyBorder="1"/>
    <x:xf numFmtId="0" fontId="15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7b126d636842c4" /><Relationship Type="http://schemas.openxmlformats.org/officeDocument/2006/relationships/theme" Target="/xl/theme/theme1.xml" Id="Rcb50df1a568a48ba" /><Relationship Type="http://schemas.openxmlformats.org/officeDocument/2006/relationships/sharedStrings" Target="/xl/sharedStrings.xml" Id="Reba9695361ac4817" /><Relationship Type="http://schemas.openxmlformats.org/officeDocument/2006/relationships/worksheet" Target="/xl/worksheets/sheet1.xml" Id="Ra811b4fe869d49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3" hidden="0" customWidth="1"/>
    <x:col min="4" max="4" width="24" hidden="0" customWidth="1"/>
    <x:col min="5" max="5" width="18" hidden="0" customWidth="1"/>
    <x:col min="6" max="6" width="18" hidden="0" customWidth="1"/>
  </x:cols>
  <x:sheetData>
    <x:row r="1" ht="34" customHeight="1">
      <x:c r="A1" s="28" t="str">
        <x:v>MONEYMENTOR KENYA - MONTHLY BUDGET</x:v>
      </x:c>
      <x:c r="B1" s="28"/>
      <x:c r="C1" s="28"/>
      <x:c r="D1" s="28"/>
      <x:c r="E1" s="28"/>
      <x:c r="F1" s="28"/>
    </x:row>
    <x:row r="2">
      <x:c r="A2" s="29" t="str">
        <x:v>Enter amounts in the blue cells. Totals and balances calculate automatically.</x:v>
      </x:c>
      <x:c r="B2" s="29"/>
      <x:c r="C2" s="29"/>
      <x:c r="D2" s="29"/>
      <x:c r="E2" s="29"/>
      <x:c r="F2" s="29"/>
    </x:row>
    <x:row r="3">
      <x:c r="A3" s="30"/>
      <x:c r="B3" s="30"/>
      <x:c r="C3" s="30"/>
      <x:c r="D3" s="30"/>
      <x:c r="E3" s="30"/>
      <x:c r="F3" s="30"/>
    </x:row>
    <x:row r="4">
      <x:c r="A4" s="31" t="str">
        <x:v>BUDGET SUMMARY</x:v>
      </x:c>
      <x:c r="B4" s="31" t="str">
        <x:v>KSh</x:v>
      </x:c>
      <x:c r="C4" s="30"/>
      <x:c r="D4" s="32" t="str">
        <x:v>50 / 30 / 20 GUIDE</x:v>
      </x:c>
      <x:c r="E4" s="32"/>
      <x:c r="F4" s="32"/>
    </x:row>
    <x:row r="5">
      <x:c r="A5" s="30" t="str">
        <x:v>Monthly income</x:v>
      </x:c>
      <x:c r="B5" s="33" t="n">
        <x:f>SUM(B14:B16)</x:f>
        <x:v>50000</x:v>
      </x:c>
      <x:c r="C5" s="30"/>
      <x:c r="D5" s="34" t="str">
        <x:v>Category</x:v>
      </x:c>
      <x:c r="E5" s="34" t="str">
        <x:v>Target</x:v>
      </x:c>
      <x:c r="F5" s="34" t="str">
        <x:v>Your plan</x:v>
      </x:c>
    </x:row>
    <x:row r="6">
      <x:c r="A6" s="30" t="str">
        <x:v>Planned expenses</x:v>
      </x:c>
      <x:c r="B6" s="33" t="n">
        <x:f>SUM(E14:E25)</x:f>
        <x:v>41500</x:v>
      </x:c>
      <x:c r="C6" s="30"/>
      <x:c r="D6" s="30" t="str">
        <x:v>Needs</x:v>
      </x:c>
      <x:c r="E6" s="35" t="n">
        <x:v>0.5</x:v>
      </x:c>
      <x:c r="F6" s="35" t="n">
        <x:f>IF($B$5=0,0,SUM(E14:E20)/$B$5)</x:f>
        <x:v>0.66</x:v>
      </x:c>
    </x:row>
    <x:row r="7">
      <x:c r="A7" s="30" t="str">
        <x:v>Planned savings</x:v>
      </x:c>
      <x:c r="B7" s="33" t="n">
        <x:f>SUM(B22:B25)</x:f>
        <x:v>10000</x:v>
      </x:c>
      <x:c r="C7" s="30"/>
      <x:c r="D7" s="30" t="str">
        <x:v>Wants</x:v>
      </x:c>
      <x:c r="E7" s="35" t="n">
        <x:v>0.3</x:v>
      </x:c>
      <x:c r="F7" s="35" t="n">
        <x:f>IF($B$5=0,0,SUM(E21:E25)/$B$5)</x:f>
        <x:v>0.17</x:v>
      </x:c>
    </x:row>
    <x:row r="8">
      <x:c r="A8" s="36" t="str">
        <x:v>Money unallocated</x:v>
      </x:c>
      <x:c r="B8" s="37" t="n">
        <x:f>B5-B6-B7</x:f>
        <x:v>-1500</x:v>
      </x:c>
      <x:c r="C8" s="30"/>
      <x:c r="D8" s="30" t="str">
        <x:v>Savings / debt</x:v>
      </x:c>
      <x:c r="E8" s="35" t="n">
        <x:v>0.2</x:v>
      </x:c>
      <x:c r="F8" s="35" t="n">
        <x:f>IF($B$5=0,0,$B$7/$B$5)</x:f>
        <x:v>0.2</x:v>
      </x:c>
    </x:row>
    <x:row r="9">
      <x:c r="A9" s="30" t="str">
        <x:v>Savings rate</x:v>
      </x:c>
      <x:c r="B9" s="35" t="n">
        <x:f>IF(B5=0,0,B7/B5)</x:f>
        <x:v>0.2</x:v>
      </x:c>
      <x:c r="C9" s="30"/>
      <x:c r="D9" s="30"/>
      <x:c r="E9" s="30"/>
      <x:c r="F9" s="30"/>
    </x:row>
    <x:row r="10">
      <x:c r="A10" s="30"/>
      <x:c r="B10" s="30"/>
      <x:c r="C10" s="30"/>
      <x:c r="D10" s="30"/>
      <x:c r="E10" s="30"/>
      <x:c r="F10" s="30"/>
    </x:row>
    <x:row r="11">
      <x:c r="A11" s="30"/>
      <x:c r="B11" s="30"/>
      <x:c r="C11" s="30"/>
      <x:c r="D11" s="30"/>
      <x:c r="E11" s="30"/>
      <x:c r="F11" s="30"/>
    </x:row>
    <x:row r="12">
      <x:c r="A12" s="38" t="str">
        <x:v>INCOME</x:v>
      </x:c>
      <x:c r="B12" s="38"/>
      <x:c r="C12" s="30"/>
      <x:c r="D12" s="38" t="str">
        <x:v>EXPENSES</x:v>
      </x:c>
      <x:c r="E12" s="38"/>
      <x:c r="F12" s="38"/>
    </x:row>
    <x:row r="13">
      <x:c r="A13" s="34" t="str">
        <x:v>Source</x:v>
      </x:c>
      <x:c r="B13" s="34" t="str">
        <x:v>Monthly amount (KSh)</x:v>
      </x:c>
      <x:c r="C13" s="30"/>
      <x:c r="D13" s="34" t="str">
        <x:v>Category</x:v>
      </x:c>
      <x:c r="E13" s="34" t="str">
        <x:v>Budget (KSh)</x:v>
      </x:c>
      <x:c r="F13" s="34" t="str">
        <x:v>Actual (KSh)</x:v>
      </x:c>
    </x:row>
    <x:row r="14">
      <x:c r="A14" s="30" t="str">
        <x:v>Salary / wages</x:v>
      </x:c>
      <x:c r="B14" s="39" t="n">
        <x:v>50000</x:v>
      </x:c>
      <x:c r="C14" s="30"/>
      <x:c r="D14" s="30" t="str">
        <x:v>Rent / housing</x:v>
      </x:c>
      <x:c r="E14" s="39" t="n">
        <x:v>15000</x:v>
      </x:c>
      <x:c r="F14" s="39" t="n">
        <x:v>0</x:v>
      </x:c>
    </x:row>
    <x:row r="15">
      <x:c r="A15" s="30" t="str">
        <x:v>Side hustle</x:v>
      </x:c>
      <x:c r="B15" s="39" t="n">
        <x:v>0</x:v>
      </x:c>
      <x:c r="C15" s="30"/>
      <x:c r="D15" s="30" t="str">
        <x:v>Utilities</x:v>
      </x:c>
      <x:c r="E15" s="39" t="n">
        <x:v>3000</x:v>
      </x:c>
      <x:c r="F15" s="39" t="n">
        <x:v>0</x:v>
      </x:c>
    </x:row>
    <x:row r="16">
      <x:c r="A16" s="30" t="str">
        <x:v>Other income</x:v>
      </x:c>
      <x:c r="B16" s="39" t="n">
        <x:v>0</x:v>
      </x:c>
      <x:c r="C16" s="30"/>
      <x:c r="D16" s="30" t="str">
        <x:v>Food / groceries</x:v>
      </x:c>
      <x:c r="E16" s="39" t="n">
        <x:v>8000</x:v>
      </x:c>
      <x:c r="F16" s="39" t="n">
        <x:v>0</x:v>
      </x:c>
    </x:row>
    <x:row r="17">
      <x:c r="A17" s="30"/>
      <x:c r="B17" s="30"/>
      <x:c r="C17" s="30"/>
      <x:c r="D17" s="30" t="str">
        <x:v>Transport</x:v>
      </x:c>
      <x:c r="E17" s="39" t="n">
        <x:v>5000</x:v>
      </x:c>
      <x:c r="F17" s="39" t="n">
        <x:v>0</x:v>
      </x:c>
    </x:row>
    <x:row r="18">
      <x:c r="A18" s="40" t="str">
        <x:v>TOTAL INCOME</x:v>
      </x:c>
      <x:c r="B18" s="41" t="n">
        <x:f>SUM(B14:B16)</x:f>
        <x:v>50000</x:v>
      </x:c>
      <x:c r="C18" s="30"/>
      <x:c r="D18" s="30" t="str">
        <x:v>Loan repayments</x:v>
      </x:c>
      <x:c r="E18" s="39" t="n">
        <x:v>0</x:v>
      </x:c>
      <x:c r="F18" s="39" t="n">
        <x:v>0</x:v>
      </x:c>
    </x:row>
    <x:row r="19">
      <x:c r="A19" s="30"/>
      <x:c r="B19" s="42"/>
      <x:c r="C19" s="30"/>
      <x:c r="D19" s="30" t="str">
        <x:v>Insurance / healthcare</x:v>
      </x:c>
      <x:c r="E19" s="39" t="n">
        <x:v>2000</x:v>
      </x:c>
      <x:c r="F19" s="39" t="n">
        <x:v>0</x:v>
      </x:c>
    </x:row>
    <x:row r="20">
      <x:c r="A20" s="38" t="str">
        <x:v>SAVINGS &amp; GOALS</x:v>
      </x:c>
      <x:c r="B20" s="43"/>
      <x:c r="C20" s="30"/>
      <x:c r="D20" s="30" t="str">
        <x:v>Education</x:v>
      </x:c>
      <x:c r="E20" s="39" t="n">
        <x:v>0</x:v>
      </x:c>
      <x:c r="F20" s="39" t="n">
        <x:v>0</x:v>
      </x:c>
    </x:row>
    <x:row r="21">
      <x:c r="A21" s="34" t="str">
        <x:v>Goal</x:v>
      </x:c>
      <x:c r="B21" s="44" t="str">
        <x:v>Monthly amount (KSh)</x:v>
      </x:c>
      <x:c r="C21" s="30"/>
      <x:c r="D21" s="30" t="str">
        <x:v>Airtime / internet</x:v>
      </x:c>
      <x:c r="E21" s="39" t="n">
        <x:v>1500</x:v>
      </x:c>
      <x:c r="F21" s="39" t="n">
        <x:v>0</x:v>
      </x:c>
    </x:row>
    <x:row r="22">
      <x:c r="A22" s="30" t="str">
        <x:v>Emergency fund</x:v>
      </x:c>
      <x:c r="B22" s="39" t="n">
        <x:v>5000</x:v>
      </x:c>
      <x:c r="C22" s="30"/>
      <x:c r="D22" s="30" t="str">
        <x:v>Personal care</x:v>
      </x:c>
      <x:c r="E22" s="39" t="n">
        <x:v>1500</x:v>
      </x:c>
      <x:c r="F22" s="39" t="n">
        <x:v>0</x:v>
      </x:c>
    </x:row>
    <x:row r="23">
      <x:c r="A23" s="30" t="str">
        <x:v>Investment / MMF</x:v>
      </x:c>
      <x:c r="B23" s="39" t="n">
        <x:v>3000</x:v>
      </x:c>
      <x:c r="C23" s="30"/>
      <x:c r="D23" s="30" t="str">
        <x:v>Entertainment</x:v>
      </x:c>
      <x:c r="E23" s="39" t="n">
        <x:v>2500</x:v>
      </x:c>
      <x:c r="F23" s="39" t="n">
        <x:v>0</x:v>
      </x:c>
    </x:row>
    <x:row r="24">
      <x:c r="A24" s="30" t="str">
        <x:v>Sinking fund</x:v>
      </x:c>
      <x:c r="B24" s="39" t="n">
        <x:v>2000</x:v>
      </x:c>
      <x:c r="C24" s="30"/>
      <x:c r="D24" s="30" t="str">
        <x:v>Family support</x:v>
      </x:c>
      <x:c r="E24" s="39" t="n">
        <x:v>3000</x:v>
      </x:c>
      <x:c r="F24" s="39" t="n">
        <x:v>0</x:v>
      </x:c>
    </x:row>
    <x:row r="25">
      <x:c r="A25" s="30" t="str">
        <x:v>Other goal</x:v>
      </x:c>
      <x:c r="B25" s="39" t="n">
        <x:v>0</x:v>
      </x:c>
      <x:c r="C25" s="30"/>
      <x:c r="D25" s="30" t="str">
        <x:v>Other</x:v>
      </x:c>
      <x:c r="E25" s="39" t="n">
        <x:v>0</x:v>
      </x:c>
      <x:c r="F25" s="39" t="n">
        <x:v>0</x:v>
      </x:c>
    </x:row>
    <x:row r="26">
      <x:c r="A26" s="30"/>
      <x:c r="B26" s="42"/>
      <x:c r="C26" s="30"/>
      <x:c r="D26" s="30"/>
      <x:c r="E26" s="30"/>
      <x:c r="F26" s="30"/>
    </x:row>
    <x:row r="27">
      <x:c r="A27" s="40" t="str">
        <x:v>TOTAL SAVINGS</x:v>
      </x:c>
      <x:c r="B27" s="41" t="n">
        <x:f>SUM(B22:B25)</x:f>
        <x:v>10000</x:v>
      </x:c>
      <x:c r="C27" s="30"/>
      <x:c r="D27" s="40" t="str">
        <x:v>TOTAL EXPENSES</x:v>
      </x:c>
      <x:c r="E27" s="41" t="n">
        <x:f>SUM(E14:E25)</x:f>
        <x:v>41500</x:v>
      </x:c>
      <x:c r="F27" s="41" t="n">
        <x:f>SUM(F14:F25)</x:f>
        <x:v>0</x:v>
      </x:c>
    </x:row>
    <x:row r="28">
      <x:c r="A28" s="30"/>
      <x:c r="B28" s="30"/>
      <x:c r="C28" s="30"/>
      <x:c r="D28" s="30"/>
      <x:c r="E28" s="30"/>
      <x:c r="F28" s="30"/>
    </x:row>
    <x:row r="29" ht="32" customHeight="1">
      <x:c r="A29" s="45" t="str">
        <x:v>Tip: Review actual spending weekly. Aim to build an emergency fund covering 3-6 months of essential expenses.</x:v>
      </x:c>
      <x:c r="B29" s="45"/>
      <x:c r="C29" s="45"/>
      <x:c r="D29" s="45"/>
      <x:c r="E29" s="45"/>
      <x:c r="F29" s="45"/>
    </x:row>
  </x:sheetData>
  <x:mergeCells>
    <x:mergeCell ref="A1:F1"/>
    <x:mergeCell ref="A2:F2"/>
    <x:mergeCell ref="D4:F4"/>
    <x:mergeCell ref="A12:B12"/>
    <x:mergeCell ref="A20:B20"/>
    <x:mergeCell ref="D12:F12"/>
    <x:mergeCell ref="A29:F29"/>
  </x:mergeCells>
  <x:pageMargins left="0.7" right="0.7" top="0.75" bottom="0.75" header="0.3" footer="0.3"/>
</x:worksheet>
</file>